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c/projects/BAHAMAS/data/"/>
    </mc:Choice>
  </mc:AlternateContent>
  <xr:revisionPtr revIDLastSave="0" documentId="13_ncr:1_{8F4892D0-5EAA-1948-9E76-45303CBDC91B}" xr6:coauthVersionLast="47" xr6:coauthVersionMax="47" xr10:uidLastSave="{00000000-0000-0000-0000-000000000000}"/>
  <bookViews>
    <workbookView xWindow="-37140" yWindow="2800" windowWidth="30240" windowHeight="17400" activeTab="2" xr2:uid="{E9A8337F-8BFF-E542-8209-0C49E6F68721}"/>
  </bookViews>
  <sheets>
    <sheet name="ODC" sheetId="1" r:id="rId1"/>
    <sheet name="UCA Correlation" sheetId="2" r:id="rId2"/>
    <sheet name="HEMD" sheetId="5" r:id="rId3"/>
    <sheet name="BN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3" i="1"/>
  <c r="J5" i="1"/>
  <c r="J6" i="1"/>
  <c r="J4" i="1"/>
</calcChain>
</file>

<file path=xl/sharedStrings.xml><?xml version="1.0" encoding="utf-8"?>
<sst xmlns="http://schemas.openxmlformats.org/spreadsheetml/2006/main" count="132" uniqueCount="121">
  <si>
    <t>Testing</t>
  </si>
  <si>
    <t>Algorithm</t>
  </si>
  <si>
    <t>Assignment</t>
  </si>
  <si>
    <t>Function</t>
  </si>
  <si>
    <t>Checking</t>
  </si>
  <si>
    <t>Interface</t>
  </si>
  <si>
    <t>Timing</t>
  </si>
  <si>
    <t>Relationship</t>
  </si>
  <si>
    <t>Defect Class</t>
  </si>
  <si>
    <t>Documentation</t>
  </si>
  <si>
    <t>UCA-A Mean</t>
  </si>
  <si>
    <t>UCA-A Sigma</t>
  </si>
  <si>
    <t>UCA-B Mean</t>
  </si>
  <si>
    <t>UCA-B Sigma</t>
  </si>
  <si>
    <t>UCA-C Mean</t>
  </si>
  <si>
    <t>UCA-C Sigma</t>
  </si>
  <si>
    <t>UCA-D Mean</t>
  </si>
  <si>
    <t>UCA-D Sigma</t>
  </si>
  <si>
    <t>Total</t>
  </si>
  <si>
    <t>K</t>
  </si>
  <si>
    <t>Ki</t>
  </si>
  <si>
    <t>S</t>
  </si>
  <si>
    <t>AA</t>
  </si>
  <si>
    <t>II</t>
  </si>
  <si>
    <t>QQ</t>
  </si>
  <si>
    <t>YY</t>
  </si>
  <si>
    <t>L</t>
  </si>
  <si>
    <t>Li</t>
  </si>
  <si>
    <t>T</t>
  </si>
  <si>
    <t>BB</t>
  </si>
  <si>
    <t>JJ</t>
  </si>
  <si>
    <t>RR</t>
  </si>
  <si>
    <t>ZZ</t>
  </si>
  <si>
    <t>M</t>
  </si>
  <si>
    <t>Mi</t>
  </si>
  <si>
    <t>U</t>
  </si>
  <si>
    <t>CC</t>
  </si>
  <si>
    <t>KK</t>
  </si>
  <si>
    <t>SS</t>
  </si>
  <si>
    <t>ZA</t>
  </si>
  <si>
    <t>N</t>
  </si>
  <si>
    <t>Ni</t>
  </si>
  <si>
    <t>V</t>
  </si>
  <si>
    <t>DD</t>
  </si>
  <si>
    <t>LL</t>
  </si>
  <si>
    <t>TT</t>
  </si>
  <si>
    <t>ZB</t>
  </si>
  <si>
    <t>O</t>
  </si>
  <si>
    <t>Oi</t>
  </si>
  <si>
    <t>W</t>
  </si>
  <si>
    <t>EE</t>
  </si>
  <si>
    <t>MM</t>
  </si>
  <si>
    <t>UU</t>
  </si>
  <si>
    <t>ZC</t>
  </si>
  <si>
    <t>P</t>
  </si>
  <si>
    <t>Pi</t>
  </si>
  <si>
    <t>X</t>
  </si>
  <si>
    <t>FF</t>
  </si>
  <si>
    <t>NN</t>
  </si>
  <si>
    <t>VV</t>
  </si>
  <si>
    <t>ZD</t>
  </si>
  <si>
    <t>Q</t>
  </si>
  <si>
    <t>Qi</t>
  </si>
  <si>
    <t>Y</t>
  </si>
  <si>
    <t>GG</t>
  </si>
  <si>
    <t>OO</t>
  </si>
  <si>
    <t>WW</t>
  </si>
  <si>
    <t>ZE</t>
  </si>
  <si>
    <t>R</t>
  </si>
  <si>
    <t>Ri</t>
  </si>
  <si>
    <t>Z</t>
  </si>
  <si>
    <t>HH</t>
  </si>
  <si>
    <t>PP</t>
  </si>
  <si>
    <t>XX</t>
  </si>
  <si>
    <t>ZF</t>
  </si>
  <si>
    <t>Concept (CS)</t>
  </si>
  <si>
    <t>Requirement (RR)</t>
  </si>
  <si>
    <t xml:space="preserve">Design (DR) </t>
  </si>
  <si>
    <t>Implementation  (IMP)</t>
  </si>
  <si>
    <t>Testing (TS)</t>
  </si>
  <si>
    <t>Install &amp; Maintenance (InM)</t>
  </si>
  <si>
    <t>Algorithm (AL)</t>
  </si>
  <si>
    <t>Assignment (AS)</t>
  </si>
  <si>
    <t>Checking (CH)</t>
  </si>
  <si>
    <t>Documentation (DC)</t>
  </si>
  <si>
    <t>Function (FN)</t>
  </si>
  <si>
    <t>Interface (IN)</t>
  </si>
  <si>
    <t>Relationship (RL)</t>
  </si>
  <si>
    <t>Timing (TM)</t>
  </si>
  <si>
    <t>Diagnosis-2, Omission and Commission</t>
  </si>
  <si>
    <t>D2OC</t>
  </si>
  <si>
    <t>Diagnosis-2 and Commission</t>
  </si>
  <si>
    <t>D2O</t>
  </si>
  <si>
    <t>Diagnosis-2 and Omission</t>
  </si>
  <si>
    <t>D2C</t>
  </si>
  <si>
    <t>Diagnosis-1, Omission and Commission</t>
  </si>
  <si>
    <t>D1OC</t>
  </si>
  <si>
    <t>Diagnosis-1 and Commission</t>
  </si>
  <si>
    <t>D1O</t>
  </si>
  <si>
    <t>Diagnosis-1 and Omission</t>
  </si>
  <si>
    <t>D1C</t>
  </si>
  <si>
    <t>Omission and Commission errors</t>
  </si>
  <si>
    <t>OC</t>
  </si>
  <si>
    <t>Commission error</t>
  </si>
  <si>
    <t>Omission error2</t>
  </si>
  <si>
    <t>C</t>
  </si>
  <si>
    <t>Simple diagnosis error (Diagnosis-2)</t>
  </si>
  <si>
    <t>D2</t>
  </si>
  <si>
    <t>Diagnosis error (Diagnosis-1)</t>
  </si>
  <si>
    <t>D1</t>
  </si>
  <si>
    <t>sigma</t>
  </si>
  <si>
    <t>mu</t>
  </si>
  <si>
    <t>description</t>
  </si>
  <si>
    <t>key</t>
  </si>
  <si>
    <t>Concept</t>
  </si>
  <si>
    <t>Requirement</t>
  </si>
  <si>
    <t>Design</t>
  </si>
  <si>
    <t>Implementation</t>
  </si>
  <si>
    <t>Install and Maintenance</t>
  </si>
  <si>
    <t>Stages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</si>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</sst>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Aptos Narrow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0" fontId="2" fillId="0" borderId="0" xfId="0" applyFont="1"/>
    <xf numFmtId="11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DBE9-AE32-8D4B-A2B3-10C67B4F164D}">
  <dimension ref="A1:J7"/>
  <sheetViews>
    <sheetView zoomScale="160" zoomScaleNormal="160" workbookViewId="0">
      <selection activeCell="B18" sqref="B18"/>
    </sheetView>
  </sheetViews>
  <sheetFormatPr baseColWidth="10" defaultRowHeight="16" x14ac:dyDescent="0.2"/>
  <cols>
    <col min="1" max="1" width="21" customWidth="1"/>
    <col min="2" max="2" width="16.6640625" customWidth="1"/>
    <col min="5" max="5" width="14.5" customWidth="1"/>
  </cols>
  <sheetData>
    <row r="1" spans="1:10" x14ac:dyDescent="0.2">
      <c r="A1" t="s">
        <v>119</v>
      </c>
      <c r="B1" t="s">
        <v>1</v>
      </c>
      <c r="C1" t="s">
        <v>2</v>
      </c>
      <c r="D1" t="s">
        <v>4</v>
      </c>
      <c r="E1" t="s">
        <v>9</v>
      </c>
      <c r="F1" t="s">
        <v>3</v>
      </c>
      <c r="G1" t="s">
        <v>5</v>
      </c>
      <c r="H1" t="s">
        <v>7</v>
      </c>
      <c r="I1" t="s">
        <v>6</v>
      </c>
      <c r="J1" t="s">
        <v>18</v>
      </c>
    </row>
    <row r="2" spans="1:10" x14ac:dyDescent="0.2">
      <c r="A2" t="s">
        <v>114</v>
      </c>
      <c r="B2">
        <v>0</v>
      </c>
      <c r="C2">
        <v>0</v>
      </c>
      <c r="D2">
        <v>0</v>
      </c>
      <c r="E2">
        <v>1000</v>
      </c>
      <c r="F2">
        <v>0</v>
      </c>
      <c r="G2">
        <v>0</v>
      </c>
      <c r="H2">
        <v>0</v>
      </c>
      <c r="I2">
        <v>0</v>
      </c>
      <c r="J2">
        <v>1000</v>
      </c>
    </row>
    <row r="3" spans="1:10" x14ac:dyDescent="0.2">
      <c r="A3" t="s">
        <v>115</v>
      </c>
      <c r="B3" s="1">
        <v>56</v>
      </c>
      <c r="C3" s="1">
        <v>26</v>
      </c>
      <c r="D3" s="1">
        <v>26</v>
      </c>
      <c r="E3" s="1">
        <v>107</v>
      </c>
      <c r="F3" s="1">
        <v>90</v>
      </c>
      <c r="G3" s="1">
        <v>57</v>
      </c>
      <c r="H3" s="1">
        <v>0</v>
      </c>
      <c r="I3" s="1">
        <v>13</v>
      </c>
      <c r="J3">
        <f>SUM(B3:I3)</f>
        <v>375</v>
      </c>
    </row>
    <row r="4" spans="1:10" x14ac:dyDescent="0.2">
      <c r="A4" t="s">
        <v>116</v>
      </c>
      <c r="B4" s="1">
        <v>56</v>
      </c>
      <c r="C4" s="1">
        <v>26</v>
      </c>
      <c r="D4" s="1">
        <v>26</v>
      </c>
      <c r="E4" s="1">
        <v>107</v>
      </c>
      <c r="F4" s="1">
        <v>90</v>
      </c>
      <c r="G4" s="1">
        <v>57</v>
      </c>
      <c r="H4" s="1">
        <v>0</v>
      </c>
      <c r="I4" s="1">
        <v>13</v>
      </c>
      <c r="J4">
        <f>SUM(B4:I4)</f>
        <v>375</v>
      </c>
    </row>
    <row r="5" spans="1:10" x14ac:dyDescent="0.2">
      <c r="A5" t="s">
        <v>117</v>
      </c>
      <c r="B5" s="1">
        <v>1215</v>
      </c>
      <c r="C5" s="1">
        <v>153</v>
      </c>
      <c r="D5" s="1">
        <v>240</v>
      </c>
      <c r="E5" s="1">
        <v>58</v>
      </c>
      <c r="F5" s="1">
        <v>372</v>
      </c>
      <c r="G5" s="1">
        <v>221</v>
      </c>
      <c r="H5" s="1">
        <v>8</v>
      </c>
      <c r="I5" s="1">
        <v>25</v>
      </c>
      <c r="J5">
        <f>SUM(B5:I5)</f>
        <v>2292</v>
      </c>
    </row>
    <row r="6" spans="1:10" x14ac:dyDescent="0.2">
      <c r="A6" t="s">
        <v>0</v>
      </c>
      <c r="B6" s="1">
        <v>1277</v>
      </c>
      <c r="C6" s="1">
        <v>181</v>
      </c>
      <c r="D6" s="1">
        <v>269</v>
      </c>
      <c r="E6" s="1">
        <v>12</v>
      </c>
      <c r="F6" s="1">
        <v>245</v>
      </c>
      <c r="G6" s="1">
        <v>361</v>
      </c>
      <c r="H6" s="1">
        <v>91</v>
      </c>
      <c r="I6" s="1">
        <v>28</v>
      </c>
      <c r="J6">
        <f t="shared" ref="J6" si="0">SUM(B6:I6)</f>
        <v>2464</v>
      </c>
    </row>
    <row r="7" spans="1:10" x14ac:dyDescent="0.2">
      <c r="A7" t="s">
        <v>118</v>
      </c>
      <c r="B7" s="1">
        <v>1277</v>
      </c>
      <c r="C7" s="1">
        <v>181</v>
      </c>
      <c r="D7" s="1">
        <v>269</v>
      </c>
      <c r="E7" s="1">
        <v>12</v>
      </c>
      <c r="F7" s="1">
        <v>245</v>
      </c>
      <c r="G7" s="1">
        <v>361</v>
      </c>
      <c r="H7" s="1">
        <v>91</v>
      </c>
      <c r="I7" s="1">
        <v>28</v>
      </c>
      <c r="J7">
        <f t="shared" ref="J7" si="1">SUM(B7:I7)</f>
        <v>2464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29F3-E137-8445-9EFE-839F7E9912D1}">
  <dimension ref="A1:I9"/>
  <sheetViews>
    <sheetView workbookViewId="0">
      <selection activeCell="I17" sqref="I17"/>
    </sheetView>
  </sheetViews>
  <sheetFormatPr baseColWidth="10" defaultRowHeight="16" x14ac:dyDescent="0.2"/>
  <cols>
    <col min="1" max="2" width="13.83203125" customWidth="1"/>
    <col min="3" max="3" width="13.6640625" customWidth="1"/>
    <col min="4" max="4" width="13.33203125" customWidth="1"/>
    <col min="5" max="5" width="13.5" customWidth="1"/>
    <col min="6" max="6" width="12" customWidth="1"/>
    <col min="7" max="7" width="14.5" customWidth="1"/>
    <col min="8" max="8" width="13.1640625" customWidth="1"/>
    <col min="9" max="9" width="14.6640625" customWidth="1"/>
  </cols>
  <sheetData>
    <row r="1" spans="1:9" x14ac:dyDescent="0.2">
      <c r="A1" t="s">
        <v>8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">
      <c r="A2" t="s">
        <v>1</v>
      </c>
      <c r="B2">
        <v>0.217</v>
      </c>
      <c r="C2">
        <v>2.5499999999999998E-2</v>
      </c>
      <c r="D2">
        <v>0.52500000000000002</v>
      </c>
      <c r="E2">
        <v>3.4000000000000002E-2</v>
      </c>
      <c r="F2">
        <v>0.124</v>
      </c>
      <c r="G2">
        <v>2.1999999999999999E-2</v>
      </c>
      <c r="H2">
        <v>0.13400000000000001</v>
      </c>
      <c r="I2">
        <v>9.4999999999999998E-3</v>
      </c>
    </row>
    <row r="3" spans="1:9" x14ac:dyDescent="0.2">
      <c r="A3" t="s">
        <v>2</v>
      </c>
      <c r="B3">
        <v>0.28799999999999998</v>
      </c>
      <c r="C3">
        <v>7.5999999999999998E-2</v>
      </c>
      <c r="D3">
        <v>0.66700000000000004</v>
      </c>
      <c r="E3">
        <v>6.5000000000000002E-2</v>
      </c>
      <c r="F3">
        <v>4.4999999999999998E-2</v>
      </c>
      <c r="G3">
        <v>3.5999999999999997E-2</v>
      </c>
      <c r="H3">
        <v>0</v>
      </c>
      <c r="I3">
        <v>0</v>
      </c>
    </row>
    <row r="4" spans="1:9" x14ac:dyDescent="0.2">
      <c r="A4" t="s">
        <v>4</v>
      </c>
      <c r="B4">
        <v>0.219</v>
      </c>
      <c r="C4">
        <v>3.6999999999999998E-2</v>
      </c>
      <c r="D4">
        <v>0.53900000000000003</v>
      </c>
      <c r="E4">
        <v>5.7500000000000002E-2</v>
      </c>
      <c r="F4">
        <v>0.10199999999999999</v>
      </c>
      <c r="G4">
        <v>3.5999999999999997E-2</v>
      </c>
      <c r="H4">
        <v>0.14099999999999999</v>
      </c>
      <c r="I4">
        <v>6.4500000000000002E-2</v>
      </c>
    </row>
    <row r="5" spans="1:9" x14ac:dyDescent="0.2">
      <c r="A5" t="s">
        <v>9</v>
      </c>
      <c r="B5">
        <v>0.25</v>
      </c>
      <c r="C5">
        <v>0.125</v>
      </c>
      <c r="D5">
        <v>0.25</v>
      </c>
      <c r="E5">
        <v>0.125</v>
      </c>
      <c r="F5">
        <v>0.25</v>
      </c>
      <c r="G5">
        <v>0.125</v>
      </c>
      <c r="H5">
        <v>0.25</v>
      </c>
      <c r="I5">
        <v>0.125</v>
      </c>
    </row>
    <row r="6" spans="1:9" x14ac:dyDescent="0.2">
      <c r="A6" t="s">
        <v>3</v>
      </c>
      <c r="B6">
        <v>0.25</v>
      </c>
      <c r="C6">
        <v>7.6999999999999999E-2</v>
      </c>
      <c r="D6">
        <v>0.51800000000000002</v>
      </c>
      <c r="E6">
        <v>3.2000000000000001E-2</v>
      </c>
      <c r="F6">
        <v>0.157</v>
      </c>
      <c r="G6">
        <v>4.5999999999999999E-2</v>
      </c>
      <c r="H6">
        <v>7.3999999999999996E-2</v>
      </c>
      <c r="I6">
        <v>0.108</v>
      </c>
    </row>
    <row r="7" spans="1:9" x14ac:dyDescent="0.2">
      <c r="A7" t="s">
        <v>5</v>
      </c>
      <c r="B7">
        <v>0.26200000000000001</v>
      </c>
      <c r="C7">
        <v>3.2500000000000001E-2</v>
      </c>
      <c r="D7">
        <v>0.57899999999999996</v>
      </c>
      <c r="E7">
        <v>4.2999999999999997E-2</v>
      </c>
      <c r="F7">
        <v>9.2999999999999999E-2</v>
      </c>
      <c r="G7">
        <v>4.7500000000000001E-2</v>
      </c>
      <c r="H7">
        <v>6.5000000000000002E-2</v>
      </c>
      <c r="I7">
        <v>1.95E-2</v>
      </c>
    </row>
    <row r="8" spans="1:9" x14ac:dyDescent="0.2">
      <c r="A8" t="s">
        <v>7</v>
      </c>
      <c r="B8">
        <v>0.25</v>
      </c>
      <c r="C8">
        <v>0.125</v>
      </c>
      <c r="D8">
        <v>0.25</v>
      </c>
      <c r="E8">
        <v>0.125</v>
      </c>
      <c r="F8">
        <v>0.25</v>
      </c>
      <c r="G8">
        <v>0.125</v>
      </c>
      <c r="H8">
        <v>0.25</v>
      </c>
      <c r="I8">
        <v>0.125</v>
      </c>
    </row>
    <row r="9" spans="1:9" x14ac:dyDescent="0.2">
      <c r="A9" t="s">
        <v>6</v>
      </c>
      <c r="B9">
        <v>9.5000000000000001E-2</v>
      </c>
      <c r="C9">
        <v>0.16700000000000001</v>
      </c>
      <c r="D9">
        <v>0.19</v>
      </c>
      <c r="E9">
        <v>0.14449999999999999</v>
      </c>
      <c r="F9">
        <v>0.52400000000000002</v>
      </c>
      <c r="G9">
        <v>0.21149999999999999</v>
      </c>
      <c r="H9">
        <v>0.19</v>
      </c>
      <c r="I9">
        <v>0.14449999999999999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F7B4-3DB1-CA4B-8A31-610401AC486C}">
  <dimension ref="A1:E12"/>
  <sheetViews>
    <sheetView tabSelected="1" workbookViewId="0">
      <selection activeCell="J21" sqref="J21:J22"/>
    </sheetView>
  </sheetViews>
  <sheetFormatPr baseColWidth="10" defaultRowHeight="16" x14ac:dyDescent="0.2"/>
  <cols>
    <col min="2" max="2" width="53" customWidth="1"/>
  </cols>
  <sheetData>
    <row r="1" spans="1:5" x14ac:dyDescent="0.2">
      <c r="A1" t="s">
        <v>113</v>
      </c>
      <c r="B1" t="s">
        <v>112</v>
      </c>
      <c r="C1" t="s">
        <v>111</v>
      </c>
      <c r="D1" t="s">
        <v>110</v>
      </c>
      <c r="E1" t="s">
        <v>120</v>
      </c>
    </row>
    <row r="2" spans="1:5" x14ac:dyDescent="0.2">
      <c r="A2" s="2" t="s">
        <v>109</v>
      </c>
      <c r="B2" s="2" t="s">
        <v>108</v>
      </c>
      <c r="C2" s="2">
        <v>-9.2103400000000004</v>
      </c>
      <c r="D2" s="2">
        <v>2.0676000000000001</v>
      </c>
      <c r="E2" s="3">
        <v>8.4800000000000001E-4</v>
      </c>
    </row>
    <row r="3" spans="1:5" x14ac:dyDescent="0.2">
      <c r="A3" s="2" t="s">
        <v>107</v>
      </c>
      <c r="B3" s="2" t="s">
        <v>106</v>
      </c>
      <c r="C3" s="2">
        <v>-11.5129</v>
      </c>
      <c r="D3" s="2">
        <v>2.0676000000000001</v>
      </c>
      <c r="E3" s="3">
        <v>8.4800000000000001E-5</v>
      </c>
    </row>
    <row r="4" spans="1:5" x14ac:dyDescent="0.2">
      <c r="A4" s="2" t="s">
        <v>105</v>
      </c>
      <c r="B4" s="2" t="s">
        <v>104</v>
      </c>
      <c r="C4" s="2">
        <v>-5.8091400000000002</v>
      </c>
      <c r="D4" s="2">
        <v>0.97838199999999997</v>
      </c>
      <c r="E4" s="3">
        <v>4.8399999999999997E-3</v>
      </c>
    </row>
    <row r="5" spans="1:5" x14ac:dyDescent="0.2">
      <c r="A5" s="2" t="s">
        <v>47</v>
      </c>
      <c r="B5" s="2" t="s">
        <v>103</v>
      </c>
      <c r="C5" s="2">
        <v>-5.8091400000000002</v>
      </c>
      <c r="D5" s="2">
        <v>0.97838199999999997</v>
      </c>
      <c r="E5" s="3">
        <v>4.8399999999999997E-3</v>
      </c>
    </row>
    <row r="6" spans="1:5" x14ac:dyDescent="0.2">
      <c r="A6" s="2" t="s">
        <v>102</v>
      </c>
      <c r="B6" s="2" t="s">
        <v>101</v>
      </c>
      <c r="C6" s="2">
        <v>-5.1159999999999997</v>
      </c>
      <c r="D6" s="2">
        <v>0.97838199999999997</v>
      </c>
      <c r="E6" s="3">
        <v>9.6799999999999994E-3</v>
      </c>
    </row>
    <row r="7" spans="1:5" x14ac:dyDescent="0.2">
      <c r="A7" s="2" t="s">
        <v>100</v>
      </c>
      <c r="B7" s="2" t="s">
        <v>99</v>
      </c>
      <c r="C7" s="2">
        <v>-5.6321500000000002</v>
      </c>
      <c r="D7" s="2">
        <v>0.94216999999999995</v>
      </c>
      <c r="E7" s="3">
        <v>5.5799999999999999E-3</v>
      </c>
    </row>
    <row r="8" spans="1:5" x14ac:dyDescent="0.2">
      <c r="A8" s="2" t="s">
        <v>98</v>
      </c>
      <c r="B8" s="2" t="s">
        <v>97</v>
      </c>
      <c r="C8" s="2">
        <v>-5.6321500000000002</v>
      </c>
      <c r="D8" s="2">
        <v>0.94216999999999995</v>
      </c>
      <c r="E8" s="3">
        <v>5.5799999999999999E-3</v>
      </c>
    </row>
    <row r="9" spans="1:5" x14ac:dyDescent="0.2">
      <c r="A9" s="2" t="s">
        <v>96</v>
      </c>
      <c r="B9" s="2" t="s">
        <v>95</v>
      </c>
      <c r="C9" s="2">
        <v>-5.0071199999999996</v>
      </c>
      <c r="D9" s="2">
        <v>0.94289599999999996</v>
      </c>
      <c r="E9" s="3">
        <v>1.04E-2</v>
      </c>
    </row>
    <row r="10" spans="1:5" x14ac:dyDescent="0.2">
      <c r="A10" s="2" t="s">
        <v>94</v>
      </c>
      <c r="B10" s="2" t="s">
        <v>93</v>
      </c>
      <c r="C10" s="2">
        <v>-5.7778799999999997</v>
      </c>
      <c r="D10" s="2">
        <v>0.96027099999999999</v>
      </c>
      <c r="E10" s="3">
        <v>4.9100000000000003E-3</v>
      </c>
    </row>
    <row r="11" spans="1:5" x14ac:dyDescent="0.2">
      <c r="A11" s="2" t="s">
        <v>92</v>
      </c>
      <c r="B11" s="2" t="s">
        <v>91</v>
      </c>
      <c r="C11" s="2">
        <v>-5.7778799999999997</v>
      </c>
      <c r="D11" s="2">
        <v>0.96027099999999999</v>
      </c>
      <c r="E11" s="3">
        <v>4.9100000000000003E-3</v>
      </c>
    </row>
    <row r="12" spans="1:5" x14ac:dyDescent="0.2">
      <c r="A12" s="2" t="s">
        <v>90</v>
      </c>
      <c r="B12" s="2" t="s">
        <v>89</v>
      </c>
      <c r="C12" s="2">
        <v>-5.0986700000000003</v>
      </c>
      <c r="D12" s="2">
        <v>0.96677599999999997</v>
      </c>
      <c r="E12" s="3">
        <v>9.7400000000000004E-3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81DB-BEAB-F84D-A90D-4288D937C625}">
  <dimension ref="A1:H9"/>
  <sheetViews>
    <sheetView workbookViewId="0">
      <selection activeCell="E16" sqref="E16"/>
    </sheetView>
  </sheetViews>
  <sheetFormatPr baseColWidth="10" defaultRowHeight="16" x14ac:dyDescent="0.2"/>
  <cols>
    <col min="1" max="1" width="19.83203125" customWidth="1"/>
    <col min="2" max="2" width="16" customWidth="1"/>
    <col min="3" max="3" width="17.33203125" customWidth="1"/>
    <col min="4" max="4" width="13.1640625" customWidth="1"/>
    <col min="5" max="5" width="19.6640625" customWidth="1"/>
    <col min="7" max="7" width="25.83203125" customWidth="1"/>
  </cols>
  <sheetData>
    <row r="1" spans="1:8" x14ac:dyDescent="0.2">
      <c r="A1" t="s">
        <v>8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18</v>
      </c>
    </row>
    <row r="2" spans="1:8" x14ac:dyDescent="0.2">
      <c r="A2" t="s">
        <v>81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1:8" x14ac:dyDescent="0.2">
      <c r="A3" t="s">
        <v>82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 spans="1:8" x14ac:dyDescent="0.2">
      <c r="A4" t="s">
        <v>83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</row>
    <row r="5" spans="1:8" x14ac:dyDescent="0.2">
      <c r="A5" t="s">
        <v>84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</row>
    <row r="6" spans="1:8" x14ac:dyDescent="0.2">
      <c r="A6" t="s">
        <v>85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</row>
    <row r="7" spans="1:8" x14ac:dyDescent="0.2">
      <c r="A7" t="s">
        <v>86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</row>
    <row r="8" spans="1:8" x14ac:dyDescent="0.2">
      <c r="A8" t="s">
        <v>87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</row>
    <row r="9" spans="1:8" x14ac:dyDescent="0.2">
      <c r="A9" t="s">
        <v>88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ODC</vt:lpstr>
      <vt:lpstr>UCA Correlation</vt:lpstr>
      <vt:lpstr>HEMD</vt:lpstr>
      <vt:lpstr>BNN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Congjian Wang</dc:creator>
  <cp:lastModifiedBy>Congjian Wang</cp:lastModifiedBy>
  <dcterms:created xsi:type="dcterms:W3CDTF">2025-03-10T22:36:48Z</dcterms:created>
  <dcterms:modified xsi:type="dcterms:W3CDTF">2026-01-27T22:42:19Z</dcterms:modified>
</cp:coreProperties>
</file>